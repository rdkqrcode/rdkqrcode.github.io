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"/>
    </mc:Choice>
  </mc:AlternateContent>
  <bookViews>
    <workbookView xWindow="0" yWindow="0" windowWidth="24000" windowHeight="87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5" i="1" l="1"/>
  <c r="D57" i="1"/>
  <c r="D56" i="1"/>
  <c r="D58" i="1" l="1"/>
  <c r="U52" i="1"/>
  <c r="R52" i="1"/>
  <c r="L52" i="1"/>
  <c r="AR52" i="1"/>
  <c r="AQ52" i="1"/>
  <c r="AP52" i="1"/>
  <c r="AO52" i="1"/>
  <c r="AN52" i="1"/>
  <c r="AM52" i="1"/>
  <c r="AK52" i="1"/>
  <c r="AJ52" i="1"/>
  <c r="AH52" i="1"/>
  <c r="AG52" i="1"/>
  <c r="AE52" i="1"/>
  <c r="AD52" i="1"/>
  <c r="AB52" i="1"/>
  <c r="AA52" i="1"/>
  <c r="Z52" i="1"/>
  <c r="X52" i="1"/>
  <c r="W52" i="1"/>
  <c r="S52" i="1"/>
  <c r="Q52" i="1"/>
  <c r="O52" i="1"/>
  <c r="N52" i="1"/>
  <c r="K52" i="1"/>
  <c r="I52" i="1"/>
  <c r="G52" i="1"/>
  <c r="F52" i="1"/>
</calcChain>
</file>

<file path=xl/sharedStrings.xml><?xml version="1.0" encoding="utf-8"?>
<sst xmlns="http://schemas.openxmlformats.org/spreadsheetml/2006/main" count="149" uniqueCount="107">
  <si>
    <t xml:space="preserve">المجموع </t>
  </si>
  <si>
    <t>مغربية N16259</t>
  </si>
  <si>
    <t>كارت 205M</t>
  </si>
  <si>
    <t>تامينات تكافلية 1308074G</t>
  </si>
  <si>
    <t>اللويد التونسي 2395T</t>
  </si>
  <si>
    <t>تعاونية التعليم 14225P</t>
  </si>
  <si>
    <t>مؤسسة بنك الإسكان للتامين 538937C</t>
  </si>
  <si>
    <t>شركة تامينات استري 80S</t>
  </si>
  <si>
    <t>مؤسسة كتاما 5855P</t>
  </si>
  <si>
    <t xml:space="preserve">مراجع التثقيل </t>
  </si>
  <si>
    <t xml:space="preserve">مكان التثقيل </t>
  </si>
  <si>
    <t xml:space="preserve">عدد القرار </t>
  </si>
  <si>
    <t>التاريخ</t>
  </si>
  <si>
    <t>التثقيل</t>
  </si>
  <si>
    <t xml:space="preserve">التثقيل </t>
  </si>
  <si>
    <t xml:space="preserve">الاستخلاص </t>
  </si>
  <si>
    <t>2500037M</t>
  </si>
  <si>
    <t>25/1507</t>
  </si>
  <si>
    <t>2500032G</t>
  </si>
  <si>
    <t>25/1452</t>
  </si>
  <si>
    <t>2500036L</t>
  </si>
  <si>
    <t>25/1523</t>
  </si>
  <si>
    <t>2500035K</t>
  </si>
  <si>
    <t>25/1522</t>
  </si>
  <si>
    <t>2500034J</t>
  </si>
  <si>
    <t>25/1521</t>
  </si>
  <si>
    <t>2500064Q</t>
  </si>
  <si>
    <t>25/1465</t>
  </si>
  <si>
    <t>2500063P</t>
  </si>
  <si>
    <t>25/1464</t>
  </si>
  <si>
    <t>2500062N</t>
  </si>
  <si>
    <t>25/1463</t>
  </si>
  <si>
    <t>2500061M</t>
  </si>
  <si>
    <t>25/1462</t>
  </si>
  <si>
    <t>2500060L</t>
  </si>
  <si>
    <t>25/1461</t>
  </si>
  <si>
    <t>2500059T</t>
  </si>
  <si>
    <t>25/1460</t>
  </si>
  <si>
    <t>2500058S</t>
  </si>
  <si>
    <t>25/1459</t>
  </si>
  <si>
    <t>2500057R</t>
  </si>
  <si>
    <t>25/1458</t>
  </si>
  <si>
    <t>2500065Q</t>
  </si>
  <si>
    <t>25/1457</t>
  </si>
  <si>
    <t>2500055P</t>
  </si>
  <si>
    <t>25/1456</t>
  </si>
  <si>
    <t>2500054M</t>
  </si>
  <si>
    <t>25/1455</t>
  </si>
  <si>
    <t>2500052L</t>
  </si>
  <si>
    <t>25/1453</t>
  </si>
  <si>
    <t>2500053M</t>
  </si>
  <si>
    <t>25/1454</t>
  </si>
  <si>
    <t>2500066S</t>
  </si>
  <si>
    <t>25/1467</t>
  </si>
  <si>
    <t>2500046N</t>
  </si>
  <si>
    <t>25/1527</t>
  </si>
  <si>
    <t>2500047P</t>
  </si>
  <si>
    <t>25/1528</t>
  </si>
  <si>
    <t>25/1508</t>
  </si>
  <si>
    <t>2500067T</t>
  </si>
  <si>
    <t>25/1524</t>
  </si>
  <si>
    <t>2500069W</t>
  </si>
  <si>
    <t>25/1526</t>
  </si>
  <si>
    <t>25/1549</t>
  </si>
  <si>
    <t>2500077S</t>
  </si>
  <si>
    <t>25/1466</t>
  </si>
  <si>
    <t>2500068V</t>
  </si>
  <si>
    <t>25/1525</t>
  </si>
  <si>
    <t>2500033H</t>
  </si>
  <si>
    <t>25/1520</t>
  </si>
  <si>
    <t>2500072Q</t>
  </si>
  <si>
    <t>25/1505</t>
  </si>
  <si>
    <t>2500073R</t>
  </si>
  <si>
    <t>25/1506</t>
  </si>
  <si>
    <t>2500071P</t>
  </si>
  <si>
    <t>25/1504</t>
  </si>
  <si>
    <t>2500070N</t>
  </si>
  <si>
    <t>25/1503</t>
  </si>
  <si>
    <t>2500042J</t>
  </si>
  <si>
    <t>25/1509</t>
  </si>
  <si>
    <t>2500044L</t>
  </si>
  <si>
    <t>25/1511</t>
  </si>
  <si>
    <t>2500043K</t>
  </si>
  <si>
    <t>25/1510</t>
  </si>
  <si>
    <t>2500048Q</t>
  </si>
  <si>
    <t>25/1515</t>
  </si>
  <si>
    <t>2500049R</t>
  </si>
  <si>
    <t>25/1516</t>
  </si>
  <si>
    <t>2500051K</t>
  </si>
  <si>
    <t>25/1518</t>
  </si>
  <si>
    <t>2500045M</t>
  </si>
  <si>
    <t>25/1512</t>
  </si>
  <si>
    <t>25/1513</t>
  </si>
  <si>
    <t>25/1514</t>
  </si>
  <si>
    <t>2500050J</t>
  </si>
  <si>
    <t xml:space="preserve">مرجع مكتب الضبط </t>
  </si>
  <si>
    <t>المطروح</t>
  </si>
  <si>
    <t xml:space="preserve">المطروح </t>
  </si>
  <si>
    <t xml:space="preserve">STAR 2388V </t>
  </si>
  <si>
    <t>اللويد للحياة T1301574</t>
  </si>
  <si>
    <t>مؤسسة الأمانة تكافل 17696W</t>
  </si>
  <si>
    <t xml:space="preserve">الاخطار المتعددة 845686P </t>
  </si>
  <si>
    <t xml:space="preserve">التثقيلات </t>
  </si>
  <si>
    <t xml:space="preserve">الباقي </t>
  </si>
  <si>
    <t xml:space="preserve">                                           الخطايا المسلطة على شركات التأمين والراجع لــــ:"صندوق تأمين ضمان المؤمن لهم"406100916  ( 2025)</t>
  </si>
  <si>
    <t xml:space="preserve">قات للحياة 673N </t>
  </si>
  <si>
    <t xml:space="preserve">النسبة المئوية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</si>
</sst>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22"/>
      <color theme="4" tint="-0.249977111117893"/>
      <name val="Times New Roman"/>
      <family val="1"/>
    </font>
    <font>
      <b/>
      <sz val="18"/>
      <color theme="4" tint="-0.249977111117893"/>
      <name val="Times New Roman"/>
      <family val="1"/>
    </font>
    <font>
      <b/>
      <sz val="18"/>
      <color theme="4" tint="-0.249977111117893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rgb="FFC00000"/>
      <name val="Times New Roman"/>
      <family val="1"/>
    </font>
    <font>
      <b/>
      <sz val="12"/>
      <color rgb="FF00B050"/>
      <name val="Times New Roman"/>
      <family val="1"/>
    </font>
    <font>
      <sz val="11"/>
      <color rgb="FF00B050"/>
      <name val="Calibri"/>
      <family val="2"/>
      <scheme val="minor"/>
    </font>
    <font>
      <b/>
      <sz val="12"/>
      <color theme="9"/>
      <name val="Times New Roman"/>
      <family val="1"/>
    </font>
    <font>
      <sz val="11"/>
      <color theme="9"/>
      <name val="Calibri"/>
      <family val="2"/>
      <scheme val="minor"/>
    </font>
    <font>
      <b/>
      <sz val="12"/>
      <color theme="8"/>
      <name val="Times New Roman"/>
      <family val="1"/>
    </font>
    <font>
      <b/>
      <sz val="12"/>
      <color theme="4" tint="-0.249977111117893"/>
      <name val="Times New Roman"/>
      <family val="1"/>
    </font>
    <font>
      <b/>
      <sz val="12"/>
      <color theme="9" tint="-0.249977111117893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6" fillId="2" borderId="1" xfId="0" applyFont="1" applyFill="1" applyBorder="1" applyAlignment="1">
      <alignment horizontal="justify" vertical="center"/>
    </xf>
    <xf numFmtId="0" fontId="6" fillId="2" borderId="1" xfId="0" applyFont="1" applyFill="1" applyBorder="1" applyAlignment="1">
      <alignment horizontal="right" vertical="center" wrapText="1" indent="1"/>
    </xf>
    <xf numFmtId="0" fontId="6" fillId="2" borderId="1" xfId="0" applyFont="1" applyFill="1" applyBorder="1" applyAlignment="1">
      <alignment horizontal="right" vertical="center" wrapText="1"/>
    </xf>
    <xf numFmtId="0" fontId="9" fillId="0" borderId="0" xfId="0" applyFont="1"/>
    <xf numFmtId="0" fontId="11" fillId="0" borderId="0" xfId="0" applyFont="1"/>
    <xf numFmtId="0" fontId="12" fillId="3" borderId="1" xfId="0" applyFont="1" applyFill="1" applyBorder="1" applyAlignment="1">
      <alignment horizontal="justify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3" fontId="7" fillId="5" borderId="1" xfId="0" applyNumberFormat="1" applyFont="1" applyFill="1" applyBorder="1" applyAlignment="1">
      <alignment horizontal="center" vertical="center"/>
    </xf>
    <xf numFmtId="3" fontId="10" fillId="6" borderId="1" xfId="0" applyNumberFormat="1" applyFont="1" applyFill="1" applyBorder="1" applyAlignment="1">
      <alignment horizontal="center" vertical="center"/>
    </xf>
    <xf numFmtId="3" fontId="8" fillId="4" borderId="1" xfId="0" applyNumberFormat="1" applyFont="1" applyFill="1" applyBorder="1" applyAlignment="1">
      <alignment horizontal="center" vertical="center"/>
    </xf>
    <xf numFmtId="3" fontId="2" fillId="6" borderId="1" xfId="0" applyNumberFormat="1" applyFont="1" applyFill="1" applyBorder="1" applyAlignment="1">
      <alignment horizontal="center" vertical="center"/>
    </xf>
    <xf numFmtId="3" fontId="12" fillId="4" borderId="1" xfId="0" applyNumberFormat="1" applyFont="1" applyFill="1" applyBorder="1" applyAlignment="1">
      <alignment horizontal="center" vertical="center"/>
    </xf>
    <xf numFmtId="3" fontId="7" fillId="6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/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9" fontId="7" fillId="5" borderId="1" xfId="1" applyFont="1" applyFill="1" applyBorder="1" applyAlignment="1">
      <alignment horizontal="center"/>
    </xf>
    <xf numFmtId="9" fontId="13" fillId="4" borderId="1" xfId="1" applyFont="1" applyFill="1" applyBorder="1" applyAlignment="1">
      <alignment horizontal="center"/>
    </xf>
    <xf numFmtId="9" fontId="10" fillId="6" borderId="1" xfId="1" applyFont="1" applyFill="1" applyBorder="1" applyAlignment="1">
      <alignment horizontal="center"/>
    </xf>
    <xf numFmtId="9" fontId="2" fillId="7" borderId="1" xfId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13" fillId="4" borderId="2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14" fillId="6" borderId="2" xfId="0" applyFont="1" applyFill="1" applyBorder="1" applyAlignment="1">
      <alignment horizontal="center"/>
    </xf>
    <xf numFmtId="0" fontId="14" fillId="6" borderId="4" xfId="0" applyFont="1" applyFill="1" applyBorder="1" applyAlignment="1">
      <alignment horizontal="center"/>
    </xf>
    <xf numFmtId="0" fontId="3" fillId="0" borderId="0" xfId="0" applyFont="1" applyAlignment="1">
      <alignment horizontal="right" vertical="center" indent="10"/>
    </xf>
    <xf numFmtId="0" fontId="3" fillId="0" borderId="5" xfId="0" applyFont="1" applyBorder="1" applyAlignment="1">
      <alignment horizontal="right" vertical="center" indent="10"/>
    </xf>
    <xf numFmtId="0" fontId="4" fillId="2" borderId="7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DE42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8"/>
  <sheetViews>
    <sheetView rightToLeft="1" tabSelected="1" topLeftCell="A31" zoomScale="87" zoomScaleNormal="87" workbookViewId="0">
      <selection activeCell="A57" sqref="A57"/>
    </sheetView>
  </sheetViews>
  <sheetFormatPr baseColWidth="10" defaultRowHeight="15" x14ac:dyDescent="0.25"/>
  <cols>
    <col min="2" max="2" width="11.140625" customWidth="1"/>
    <col min="4" max="4" width="11.42578125" customWidth="1"/>
    <col min="5" max="5" width="12.85546875" bestFit="1" customWidth="1"/>
    <col min="9" max="10" width="11.42578125" customWidth="1"/>
  </cols>
  <sheetData>
    <row r="1" spans="1:44" ht="15" customHeight="1" x14ac:dyDescent="0.25">
      <c r="A1" s="37" t="s">
        <v>104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</row>
    <row r="2" spans="1:44" ht="15" customHeight="1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</row>
    <row r="3" spans="1:44" ht="15" customHeight="1" x14ac:dyDescent="0.2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</row>
    <row r="4" spans="1:44" ht="15" customHeight="1" x14ac:dyDescent="0.2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</row>
    <row r="5" spans="1:44" ht="15" customHeight="1" x14ac:dyDescent="0.25">
      <c r="A5" s="58"/>
      <c r="B5" s="59"/>
      <c r="C5" s="59"/>
      <c r="D5" s="59"/>
      <c r="E5" s="60"/>
      <c r="F5" s="39" t="s">
        <v>8</v>
      </c>
      <c r="G5" s="40"/>
      <c r="H5" s="41"/>
      <c r="I5" s="39" t="s">
        <v>7</v>
      </c>
      <c r="J5" s="40"/>
      <c r="K5" s="41"/>
      <c r="L5" s="39" t="s">
        <v>6</v>
      </c>
      <c r="M5" s="40"/>
      <c r="N5" s="41"/>
      <c r="O5" s="39" t="s">
        <v>5</v>
      </c>
      <c r="P5" s="40"/>
      <c r="Q5" s="41"/>
      <c r="R5" s="39" t="s">
        <v>98</v>
      </c>
      <c r="S5" s="40"/>
      <c r="T5" s="41"/>
      <c r="U5" s="48" t="s">
        <v>99</v>
      </c>
      <c r="V5" s="49"/>
      <c r="W5" s="50"/>
      <c r="X5" s="48" t="s">
        <v>4</v>
      </c>
      <c r="Y5" s="49"/>
      <c r="Z5" s="50"/>
      <c r="AA5" s="57" t="s">
        <v>3</v>
      </c>
      <c r="AB5" s="57"/>
      <c r="AC5" s="57"/>
      <c r="AD5" s="48" t="s">
        <v>100</v>
      </c>
      <c r="AE5" s="49"/>
      <c r="AF5" s="50"/>
      <c r="AG5" s="48" t="s">
        <v>2</v>
      </c>
      <c r="AH5" s="49"/>
      <c r="AI5" s="50"/>
      <c r="AJ5" s="48" t="s">
        <v>1</v>
      </c>
      <c r="AK5" s="49"/>
      <c r="AL5" s="50"/>
      <c r="AM5" s="48" t="s">
        <v>101</v>
      </c>
      <c r="AN5" s="49"/>
      <c r="AO5" s="50"/>
      <c r="AP5" s="57" t="s">
        <v>105</v>
      </c>
      <c r="AQ5" s="57"/>
      <c r="AR5" s="57"/>
    </row>
    <row r="6" spans="1:44" ht="15" customHeight="1" x14ac:dyDescent="0.25">
      <c r="A6" s="61"/>
      <c r="B6" s="62"/>
      <c r="C6" s="62"/>
      <c r="D6" s="62"/>
      <c r="E6" s="63"/>
      <c r="F6" s="42"/>
      <c r="G6" s="43"/>
      <c r="H6" s="44"/>
      <c r="I6" s="42"/>
      <c r="J6" s="43"/>
      <c r="K6" s="44"/>
      <c r="L6" s="42"/>
      <c r="M6" s="43"/>
      <c r="N6" s="44"/>
      <c r="O6" s="42"/>
      <c r="P6" s="43"/>
      <c r="Q6" s="44"/>
      <c r="R6" s="42"/>
      <c r="S6" s="43"/>
      <c r="T6" s="44"/>
      <c r="U6" s="51"/>
      <c r="V6" s="52"/>
      <c r="W6" s="53"/>
      <c r="X6" s="51"/>
      <c r="Y6" s="52"/>
      <c r="Z6" s="53"/>
      <c r="AA6" s="57"/>
      <c r="AB6" s="57"/>
      <c r="AC6" s="57"/>
      <c r="AD6" s="51"/>
      <c r="AE6" s="52"/>
      <c r="AF6" s="53"/>
      <c r="AG6" s="51"/>
      <c r="AH6" s="52"/>
      <c r="AI6" s="53"/>
      <c r="AJ6" s="51"/>
      <c r="AK6" s="52"/>
      <c r="AL6" s="53"/>
      <c r="AM6" s="51"/>
      <c r="AN6" s="52"/>
      <c r="AO6" s="53"/>
      <c r="AP6" s="57"/>
      <c r="AQ6" s="57"/>
      <c r="AR6" s="57"/>
    </row>
    <row r="7" spans="1:44" ht="15" customHeight="1" x14ac:dyDescent="0.25">
      <c r="A7" s="61"/>
      <c r="B7" s="62"/>
      <c r="C7" s="62"/>
      <c r="D7" s="62"/>
      <c r="E7" s="63"/>
      <c r="F7" s="42"/>
      <c r="G7" s="43"/>
      <c r="H7" s="44"/>
      <c r="I7" s="42"/>
      <c r="J7" s="43"/>
      <c r="K7" s="44"/>
      <c r="L7" s="42"/>
      <c r="M7" s="43"/>
      <c r="N7" s="44"/>
      <c r="O7" s="42"/>
      <c r="P7" s="43"/>
      <c r="Q7" s="44"/>
      <c r="R7" s="42"/>
      <c r="S7" s="43"/>
      <c r="T7" s="44"/>
      <c r="U7" s="51"/>
      <c r="V7" s="52"/>
      <c r="W7" s="53"/>
      <c r="X7" s="51"/>
      <c r="Y7" s="52"/>
      <c r="Z7" s="53"/>
      <c r="AA7" s="57"/>
      <c r="AB7" s="57"/>
      <c r="AC7" s="57"/>
      <c r="AD7" s="51"/>
      <c r="AE7" s="52"/>
      <c r="AF7" s="53"/>
      <c r="AG7" s="51"/>
      <c r="AH7" s="52"/>
      <c r="AI7" s="53"/>
      <c r="AJ7" s="51"/>
      <c r="AK7" s="52"/>
      <c r="AL7" s="53"/>
      <c r="AM7" s="51"/>
      <c r="AN7" s="52"/>
      <c r="AO7" s="53"/>
      <c r="AP7" s="57"/>
      <c r="AQ7" s="57"/>
      <c r="AR7" s="57"/>
    </row>
    <row r="8" spans="1:44" ht="28.5" customHeight="1" x14ac:dyDescent="0.25">
      <c r="A8" s="64"/>
      <c r="B8" s="65"/>
      <c r="C8" s="65"/>
      <c r="D8" s="65"/>
      <c r="E8" s="66"/>
      <c r="F8" s="45"/>
      <c r="G8" s="46"/>
      <c r="H8" s="47"/>
      <c r="I8" s="45"/>
      <c r="J8" s="46"/>
      <c r="K8" s="47"/>
      <c r="L8" s="45"/>
      <c r="M8" s="46"/>
      <c r="N8" s="47"/>
      <c r="O8" s="45"/>
      <c r="P8" s="46"/>
      <c r="Q8" s="47"/>
      <c r="R8" s="45"/>
      <c r="S8" s="46"/>
      <c r="T8" s="47"/>
      <c r="U8" s="54"/>
      <c r="V8" s="55"/>
      <c r="W8" s="56"/>
      <c r="X8" s="54"/>
      <c r="Y8" s="55"/>
      <c r="Z8" s="56"/>
      <c r="AA8" s="57"/>
      <c r="AB8" s="57"/>
      <c r="AC8" s="57"/>
      <c r="AD8" s="54"/>
      <c r="AE8" s="55"/>
      <c r="AF8" s="56"/>
      <c r="AG8" s="54"/>
      <c r="AH8" s="55"/>
      <c r="AI8" s="56"/>
      <c r="AJ8" s="54"/>
      <c r="AK8" s="55"/>
      <c r="AL8" s="56"/>
      <c r="AM8" s="54"/>
      <c r="AN8" s="55"/>
      <c r="AO8" s="56"/>
      <c r="AP8" s="57"/>
      <c r="AQ8" s="57"/>
      <c r="AR8" s="57"/>
    </row>
    <row r="9" spans="1:44" ht="56.25" x14ac:dyDescent="0.25">
      <c r="A9" s="1" t="s">
        <v>12</v>
      </c>
      <c r="B9" s="2" t="s">
        <v>95</v>
      </c>
      <c r="C9" s="1" t="s">
        <v>11</v>
      </c>
      <c r="D9" s="1" t="s">
        <v>10</v>
      </c>
      <c r="E9" s="3" t="s">
        <v>9</v>
      </c>
      <c r="F9" s="1" t="s">
        <v>13</v>
      </c>
      <c r="G9" s="1" t="s">
        <v>15</v>
      </c>
      <c r="H9" s="1" t="s">
        <v>96</v>
      </c>
      <c r="I9" s="1" t="s">
        <v>14</v>
      </c>
      <c r="J9" s="1" t="s">
        <v>15</v>
      </c>
      <c r="K9" s="1" t="s">
        <v>97</v>
      </c>
      <c r="L9" s="1" t="s">
        <v>14</v>
      </c>
      <c r="M9" s="1" t="s">
        <v>15</v>
      </c>
      <c r="N9" s="1" t="s">
        <v>97</v>
      </c>
      <c r="O9" s="1" t="s">
        <v>14</v>
      </c>
      <c r="P9" s="1" t="s">
        <v>15</v>
      </c>
      <c r="Q9" s="1" t="s">
        <v>97</v>
      </c>
      <c r="R9" s="1" t="s">
        <v>14</v>
      </c>
      <c r="S9" s="1" t="s">
        <v>15</v>
      </c>
      <c r="T9" s="1" t="s">
        <v>97</v>
      </c>
      <c r="U9" s="1" t="s">
        <v>14</v>
      </c>
      <c r="V9" s="1" t="s">
        <v>15</v>
      </c>
      <c r="W9" s="1" t="s">
        <v>97</v>
      </c>
      <c r="X9" s="1" t="s">
        <v>14</v>
      </c>
      <c r="Y9" s="1" t="s">
        <v>15</v>
      </c>
      <c r="Z9" s="1" t="s">
        <v>97</v>
      </c>
      <c r="AA9" s="1" t="s">
        <v>13</v>
      </c>
      <c r="AB9" s="1" t="s">
        <v>15</v>
      </c>
      <c r="AC9" s="1" t="s">
        <v>97</v>
      </c>
      <c r="AD9" s="1" t="s">
        <v>14</v>
      </c>
      <c r="AE9" s="1" t="s">
        <v>15</v>
      </c>
      <c r="AF9" s="1" t="s">
        <v>97</v>
      </c>
      <c r="AG9" s="1" t="s">
        <v>14</v>
      </c>
      <c r="AH9" s="1" t="s">
        <v>15</v>
      </c>
      <c r="AI9" s="1" t="s">
        <v>97</v>
      </c>
      <c r="AJ9" s="1" t="s">
        <v>14</v>
      </c>
      <c r="AK9" s="1" t="s">
        <v>15</v>
      </c>
      <c r="AL9" s="1" t="s">
        <v>97</v>
      </c>
      <c r="AM9" s="1" t="s">
        <v>14</v>
      </c>
      <c r="AN9" s="1" t="s">
        <v>15</v>
      </c>
      <c r="AO9" s="1" t="s">
        <v>97</v>
      </c>
      <c r="AP9" s="1" t="s">
        <v>14</v>
      </c>
      <c r="AQ9" s="1" t="s">
        <v>15</v>
      </c>
      <c r="AR9" s="1" t="s">
        <v>97</v>
      </c>
    </row>
    <row r="10" spans="1:44" ht="15.75" x14ac:dyDescent="0.25">
      <c r="A10" s="7">
        <v>43881</v>
      </c>
      <c r="B10" s="8" t="s">
        <v>17</v>
      </c>
      <c r="C10" s="8">
        <v>1</v>
      </c>
      <c r="D10" s="8">
        <v>55</v>
      </c>
      <c r="E10" s="8" t="s">
        <v>16</v>
      </c>
      <c r="F10" s="9">
        <v>5000000</v>
      </c>
      <c r="G10" s="9">
        <v>5000000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</row>
    <row r="11" spans="1:44" ht="15.75" x14ac:dyDescent="0.25">
      <c r="A11" s="7">
        <v>45750</v>
      </c>
      <c r="B11" s="8" t="s">
        <v>19</v>
      </c>
      <c r="C11" s="8">
        <v>2</v>
      </c>
      <c r="D11" s="8">
        <v>55</v>
      </c>
      <c r="E11" s="8" t="s">
        <v>18</v>
      </c>
      <c r="F11" s="9">
        <v>2950000</v>
      </c>
      <c r="G11" s="9">
        <v>2950000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</row>
    <row r="12" spans="1:44" ht="15.75" x14ac:dyDescent="0.25">
      <c r="A12" s="7">
        <v>45090</v>
      </c>
      <c r="B12" s="8" t="s">
        <v>21</v>
      </c>
      <c r="C12" s="8">
        <v>6</v>
      </c>
      <c r="D12" s="8">
        <v>55</v>
      </c>
      <c r="E12" s="8" t="s">
        <v>20</v>
      </c>
      <c r="F12" s="9">
        <v>11100000</v>
      </c>
      <c r="G12" s="9">
        <v>11100000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</row>
    <row r="13" spans="1:44" ht="15.75" x14ac:dyDescent="0.25">
      <c r="A13" s="7">
        <v>45090</v>
      </c>
      <c r="B13" s="8" t="s">
        <v>23</v>
      </c>
      <c r="C13" s="8">
        <v>5</v>
      </c>
      <c r="D13" s="8">
        <v>55</v>
      </c>
      <c r="E13" s="8" t="s">
        <v>22</v>
      </c>
      <c r="F13" s="9">
        <v>13750000</v>
      </c>
      <c r="G13" s="9">
        <v>13750000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</row>
    <row r="14" spans="1:44" ht="15.75" x14ac:dyDescent="0.25">
      <c r="A14" s="7">
        <v>44314</v>
      </c>
      <c r="B14" s="8" t="s">
        <v>25</v>
      </c>
      <c r="C14" s="8">
        <v>1</v>
      </c>
      <c r="D14" s="8">
        <v>55</v>
      </c>
      <c r="E14" s="8" t="s">
        <v>24</v>
      </c>
      <c r="F14" s="9">
        <v>15750000</v>
      </c>
      <c r="G14" s="9">
        <v>15750000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</row>
    <row r="15" spans="1:44" ht="15.75" x14ac:dyDescent="0.25">
      <c r="A15" s="7">
        <v>45750</v>
      </c>
      <c r="B15" s="8" t="s">
        <v>27</v>
      </c>
      <c r="C15" s="8">
        <v>12</v>
      </c>
      <c r="D15" s="8">
        <v>38</v>
      </c>
      <c r="E15" s="8" t="s">
        <v>26</v>
      </c>
      <c r="F15" s="9"/>
      <c r="G15" s="9"/>
      <c r="H15" s="9"/>
      <c r="I15" s="9">
        <v>2000000</v>
      </c>
      <c r="J15" s="9"/>
      <c r="K15" s="9">
        <v>2000000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</row>
    <row r="16" spans="1:44" ht="15.75" x14ac:dyDescent="0.25">
      <c r="A16" s="7">
        <v>45750</v>
      </c>
      <c r="B16" s="8" t="s">
        <v>29</v>
      </c>
      <c r="C16" s="8">
        <v>11</v>
      </c>
      <c r="D16" s="8">
        <v>38</v>
      </c>
      <c r="E16" s="8" t="s">
        <v>28</v>
      </c>
      <c r="F16" s="9"/>
      <c r="G16" s="9"/>
      <c r="H16" s="9"/>
      <c r="I16" s="9">
        <v>1000000</v>
      </c>
      <c r="J16" s="9"/>
      <c r="K16" s="9">
        <v>1000000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</row>
    <row r="17" spans="1:44" ht="15.75" x14ac:dyDescent="0.25">
      <c r="A17" s="7">
        <v>45750</v>
      </c>
      <c r="B17" s="8" t="s">
        <v>31</v>
      </c>
      <c r="C17" s="8">
        <v>10</v>
      </c>
      <c r="D17" s="8">
        <v>38</v>
      </c>
      <c r="E17" s="8" t="s">
        <v>30</v>
      </c>
      <c r="F17" s="9"/>
      <c r="G17" s="9"/>
      <c r="H17" s="9"/>
      <c r="I17" s="9">
        <v>2000000</v>
      </c>
      <c r="J17" s="9"/>
      <c r="K17" s="9">
        <v>2000000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</row>
    <row r="18" spans="1:44" ht="15.75" x14ac:dyDescent="0.25">
      <c r="A18" s="7">
        <v>45750</v>
      </c>
      <c r="B18" s="8" t="s">
        <v>33</v>
      </c>
      <c r="C18" s="8">
        <v>9</v>
      </c>
      <c r="D18" s="8">
        <v>38</v>
      </c>
      <c r="E18" s="8" t="s">
        <v>32</v>
      </c>
      <c r="F18" s="9"/>
      <c r="G18" s="9"/>
      <c r="H18" s="9"/>
      <c r="I18" s="9">
        <v>2000000</v>
      </c>
      <c r="J18" s="9"/>
      <c r="K18" s="9">
        <v>2000000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</row>
    <row r="19" spans="1:44" ht="15.75" x14ac:dyDescent="0.25">
      <c r="A19" s="7">
        <v>45750</v>
      </c>
      <c r="B19" s="8" t="s">
        <v>35</v>
      </c>
      <c r="C19" s="8">
        <v>8</v>
      </c>
      <c r="D19" s="8">
        <v>38</v>
      </c>
      <c r="E19" s="8" t="s">
        <v>34</v>
      </c>
      <c r="F19" s="9"/>
      <c r="G19" s="9"/>
      <c r="H19" s="9"/>
      <c r="I19" s="9">
        <v>3000000</v>
      </c>
      <c r="J19" s="9"/>
      <c r="K19" s="9">
        <v>3000000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</row>
    <row r="20" spans="1:44" ht="15.75" x14ac:dyDescent="0.25">
      <c r="A20" s="7">
        <v>45750</v>
      </c>
      <c r="B20" s="8" t="s">
        <v>37</v>
      </c>
      <c r="C20" s="8">
        <v>7</v>
      </c>
      <c r="D20" s="8">
        <v>38</v>
      </c>
      <c r="E20" s="8" t="s">
        <v>36</v>
      </c>
      <c r="F20" s="9"/>
      <c r="G20" s="9"/>
      <c r="H20" s="9"/>
      <c r="I20" s="9">
        <v>3000000</v>
      </c>
      <c r="J20" s="9"/>
      <c r="K20" s="9">
        <v>3000000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</row>
    <row r="21" spans="1:44" ht="15.75" x14ac:dyDescent="0.25">
      <c r="A21" s="7">
        <v>45750</v>
      </c>
      <c r="B21" s="8" t="s">
        <v>39</v>
      </c>
      <c r="C21" s="8">
        <v>6</v>
      </c>
      <c r="D21" s="8">
        <v>38</v>
      </c>
      <c r="E21" s="8" t="s">
        <v>38</v>
      </c>
      <c r="F21" s="9"/>
      <c r="G21" s="9"/>
      <c r="H21" s="9"/>
      <c r="I21" s="9">
        <v>1000000</v>
      </c>
      <c r="J21" s="9"/>
      <c r="K21" s="9">
        <v>1000000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</row>
    <row r="22" spans="1:44" ht="15.75" x14ac:dyDescent="0.25">
      <c r="A22" s="7">
        <v>45750</v>
      </c>
      <c r="B22" s="8" t="s">
        <v>41</v>
      </c>
      <c r="C22" s="8">
        <v>5</v>
      </c>
      <c r="D22" s="8">
        <v>38</v>
      </c>
      <c r="E22" s="8" t="s">
        <v>40</v>
      </c>
      <c r="F22" s="9"/>
      <c r="G22" s="9"/>
      <c r="H22" s="9"/>
      <c r="I22" s="9">
        <v>4000000</v>
      </c>
      <c r="J22" s="9"/>
      <c r="K22" s="9">
        <v>4000000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</row>
    <row r="23" spans="1:44" ht="15.75" x14ac:dyDescent="0.25">
      <c r="A23" s="7">
        <v>45750</v>
      </c>
      <c r="B23" s="8" t="s">
        <v>43</v>
      </c>
      <c r="C23" s="8">
        <v>14</v>
      </c>
      <c r="D23" s="8">
        <v>38</v>
      </c>
      <c r="E23" s="8" t="s">
        <v>42</v>
      </c>
      <c r="F23" s="9"/>
      <c r="G23" s="9"/>
      <c r="H23" s="9"/>
      <c r="I23" s="9">
        <v>2000000</v>
      </c>
      <c r="J23" s="9"/>
      <c r="K23" s="9">
        <v>2000000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</row>
    <row r="24" spans="1:44" ht="15.75" x14ac:dyDescent="0.25">
      <c r="A24" s="7">
        <v>45750</v>
      </c>
      <c r="B24" s="8" t="s">
        <v>45</v>
      </c>
      <c r="C24" s="8">
        <v>16</v>
      </c>
      <c r="D24" s="8">
        <v>38</v>
      </c>
      <c r="E24" s="8" t="s">
        <v>44</v>
      </c>
      <c r="F24" s="9"/>
      <c r="G24" s="9"/>
      <c r="H24" s="9"/>
      <c r="I24" s="9">
        <v>1000000</v>
      </c>
      <c r="J24" s="9"/>
      <c r="K24" s="9">
        <v>1000000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</row>
    <row r="25" spans="1:44" ht="15.75" x14ac:dyDescent="0.25">
      <c r="A25" s="7">
        <v>45750</v>
      </c>
      <c r="B25" s="8" t="s">
        <v>47</v>
      </c>
      <c r="C25" s="8">
        <v>15</v>
      </c>
      <c r="D25" s="8">
        <v>38</v>
      </c>
      <c r="E25" s="8" t="s">
        <v>46</v>
      </c>
      <c r="F25" s="9"/>
      <c r="G25" s="9"/>
      <c r="H25" s="9"/>
      <c r="I25" s="9">
        <v>2000000</v>
      </c>
      <c r="J25" s="9"/>
      <c r="K25" s="9">
        <v>2000000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</row>
    <row r="26" spans="1:44" ht="15.75" x14ac:dyDescent="0.25">
      <c r="A26" s="7">
        <v>45750</v>
      </c>
      <c r="B26" s="8" t="s">
        <v>49</v>
      </c>
      <c r="C26" s="8">
        <v>4</v>
      </c>
      <c r="D26" s="8">
        <v>38</v>
      </c>
      <c r="E26" s="8" t="s">
        <v>48</v>
      </c>
      <c r="F26" s="9"/>
      <c r="G26" s="9"/>
      <c r="H26" s="9"/>
      <c r="I26" s="9">
        <v>500000</v>
      </c>
      <c r="J26" s="9"/>
      <c r="K26" s="9">
        <v>500000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</row>
    <row r="27" spans="1:44" ht="15.75" x14ac:dyDescent="0.25">
      <c r="A27" s="7">
        <v>45750</v>
      </c>
      <c r="B27" s="8" t="s">
        <v>51</v>
      </c>
      <c r="C27" s="8">
        <v>13</v>
      </c>
      <c r="D27" s="8">
        <v>38</v>
      </c>
      <c r="E27" s="8" t="s">
        <v>50</v>
      </c>
      <c r="F27" s="9"/>
      <c r="G27" s="9"/>
      <c r="H27" s="9"/>
      <c r="I27" s="9">
        <v>3000000</v>
      </c>
      <c r="J27" s="9"/>
      <c r="K27" s="9">
        <v>3000000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</row>
    <row r="28" spans="1:44" ht="15.75" x14ac:dyDescent="0.25">
      <c r="A28" s="7">
        <v>45750</v>
      </c>
      <c r="B28" s="8" t="s">
        <v>53</v>
      </c>
      <c r="C28" s="8">
        <v>1</v>
      </c>
      <c r="D28" s="8">
        <v>38</v>
      </c>
      <c r="E28" s="8" t="s">
        <v>52</v>
      </c>
      <c r="F28" s="9"/>
      <c r="G28" s="9"/>
      <c r="H28" s="9"/>
      <c r="I28" s="9"/>
      <c r="J28" s="9"/>
      <c r="K28" s="9"/>
      <c r="L28" s="9">
        <v>4000000</v>
      </c>
      <c r="M28" s="9"/>
      <c r="N28" s="9">
        <v>4000000</v>
      </c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</row>
    <row r="29" spans="1:44" ht="15.75" x14ac:dyDescent="0.25">
      <c r="A29" s="7">
        <v>44314</v>
      </c>
      <c r="B29" s="8" t="s">
        <v>55</v>
      </c>
      <c r="C29" s="8">
        <v>6</v>
      </c>
      <c r="D29" s="8">
        <v>47</v>
      </c>
      <c r="E29" s="8" t="s">
        <v>54</v>
      </c>
      <c r="F29" s="9"/>
      <c r="G29" s="9"/>
      <c r="H29" s="9"/>
      <c r="I29" s="9"/>
      <c r="J29" s="9"/>
      <c r="K29" s="9"/>
      <c r="L29" s="9"/>
      <c r="M29" s="9"/>
      <c r="N29" s="9"/>
      <c r="O29" s="9">
        <v>6250000</v>
      </c>
      <c r="P29" s="9"/>
      <c r="Q29" s="9">
        <v>6250000</v>
      </c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</row>
    <row r="30" spans="1:44" ht="15.75" x14ac:dyDescent="0.25">
      <c r="A30" s="7">
        <v>45090</v>
      </c>
      <c r="B30" s="8" t="s">
        <v>57</v>
      </c>
      <c r="C30" s="8">
        <v>1</v>
      </c>
      <c r="D30" s="8">
        <v>47</v>
      </c>
      <c r="E30" s="8" t="s">
        <v>56</v>
      </c>
      <c r="F30" s="9"/>
      <c r="G30" s="9"/>
      <c r="H30" s="9"/>
      <c r="I30" s="9"/>
      <c r="J30" s="9"/>
      <c r="K30" s="9"/>
      <c r="L30" s="9"/>
      <c r="M30" s="9"/>
      <c r="N30" s="9"/>
      <c r="O30" s="9">
        <v>3725000</v>
      </c>
      <c r="P30" s="9"/>
      <c r="Q30" s="9">
        <v>3725000</v>
      </c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</row>
    <row r="31" spans="1:44" ht="15.75" x14ac:dyDescent="0.25">
      <c r="A31" s="7">
        <v>44314</v>
      </c>
      <c r="B31" s="8" t="s">
        <v>58</v>
      </c>
      <c r="C31" s="8">
        <v>5</v>
      </c>
      <c r="D31" s="8">
        <v>40</v>
      </c>
      <c r="E31" s="8" t="s">
        <v>56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>
        <v>3100000</v>
      </c>
      <c r="S31" s="9">
        <v>3100000</v>
      </c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</row>
    <row r="32" spans="1:44" ht="15.75" x14ac:dyDescent="0.25">
      <c r="A32" s="7">
        <v>45097</v>
      </c>
      <c r="B32" s="8" t="s">
        <v>60</v>
      </c>
      <c r="C32" s="8">
        <v>2</v>
      </c>
      <c r="D32" s="8">
        <v>38</v>
      </c>
      <c r="E32" s="8" t="s">
        <v>59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>
        <v>8500000</v>
      </c>
      <c r="V32" s="9"/>
      <c r="W32" s="9">
        <v>8500000</v>
      </c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</row>
    <row r="33" spans="1:44" ht="15.75" x14ac:dyDescent="0.25">
      <c r="A33" s="7">
        <v>43881</v>
      </c>
      <c r="B33" s="8" t="s">
        <v>62</v>
      </c>
      <c r="C33" s="8">
        <v>2</v>
      </c>
      <c r="D33" s="8">
        <v>38</v>
      </c>
      <c r="E33" s="8" t="s">
        <v>61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>
        <v>500000</v>
      </c>
      <c r="Y33" s="9"/>
      <c r="Z33" s="9">
        <v>500000</v>
      </c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</row>
    <row r="34" spans="1:44" ht="15.75" x14ac:dyDescent="0.25">
      <c r="A34" s="7">
        <v>43881</v>
      </c>
      <c r="B34" s="8" t="s">
        <v>63</v>
      </c>
      <c r="C34" s="8">
        <v>8</v>
      </c>
      <c r="D34" s="8">
        <v>35</v>
      </c>
      <c r="E34" s="8" t="s">
        <v>48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>
        <v>500000</v>
      </c>
      <c r="AB34" s="9">
        <v>500000</v>
      </c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</row>
    <row r="35" spans="1:44" ht="15.75" x14ac:dyDescent="0.25">
      <c r="A35" s="7">
        <v>45750</v>
      </c>
      <c r="B35" s="8" t="s">
        <v>65</v>
      </c>
      <c r="C35" s="8">
        <v>3</v>
      </c>
      <c r="D35" s="8">
        <v>38</v>
      </c>
      <c r="E35" s="8" t="s">
        <v>64</v>
      </c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>
        <v>2500000</v>
      </c>
      <c r="AE35" s="9">
        <v>2500000</v>
      </c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</row>
    <row r="36" spans="1:44" ht="15.75" x14ac:dyDescent="0.25">
      <c r="A36" s="7">
        <v>43881</v>
      </c>
      <c r="B36" s="8" t="s">
        <v>67</v>
      </c>
      <c r="C36" s="8">
        <v>6</v>
      </c>
      <c r="D36" s="8">
        <v>38</v>
      </c>
      <c r="E36" s="8" t="s">
        <v>66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>
        <v>500000</v>
      </c>
      <c r="AH36" s="9">
        <v>500000</v>
      </c>
      <c r="AI36" s="9"/>
      <c r="AJ36" s="9"/>
      <c r="AK36" s="9"/>
      <c r="AL36" s="9"/>
      <c r="AM36" s="9"/>
      <c r="AN36" s="9"/>
      <c r="AO36" s="9"/>
      <c r="AP36" s="9"/>
      <c r="AQ36" s="9"/>
      <c r="AR36" s="9"/>
    </row>
    <row r="37" spans="1:44" ht="15.75" x14ac:dyDescent="0.25">
      <c r="A37" s="7">
        <v>44679</v>
      </c>
      <c r="B37" s="8" t="s">
        <v>69</v>
      </c>
      <c r="C37" s="8">
        <v>4</v>
      </c>
      <c r="D37" s="8">
        <v>55</v>
      </c>
      <c r="E37" s="8" t="s">
        <v>68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>
        <v>6200000</v>
      </c>
      <c r="AK37" s="9">
        <v>6200000</v>
      </c>
      <c r="AL37" s="9"/>
      <c r="AM37" s="9"/>
      <c r="AN37" s="9"/>
      <c r="AO37" s="9"/>
      <c r="AP37" s="9"/>
      <c r="AQ37" s="9"/>
      <c r="AR37" s="9"/>
    </row>
    <row r="38" spans="1:44" ht="15.75" x14ac:dyDescent="0.25">
      <c r="A38" s="7">
        <v>43881</v>
      </c>
      <c r="B38" s="8" t="s">
        <v>71</v>
      </c>
      <c r="C38" s="8">
        <v>4</v>
      </c>
      <c r="D38" s="8">
        <v>38</v>
      </c>
      <c r="E38" s="8" t="s">
        <v>70</v>
      </c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>
        <v>5000000</v>
      </c>
      <c r="AN38" s="9"/>
      <c r="AO38" s="9">
        <v>5000000</v>
      </c>
      <c r="AP38" s="9"/>
      <c r="AQ38" s="9"/>
      <c r="AR38" s="9"/>
    </row>
    <row r="39" spans="1:44" ht="15.75" x14ac:dyDescent="0.25">
      <c r="A39" s="7">
        <v>45090</v>
      </c>
      <c r="B39" s="8" t="s">
        <v>73</v>
      </c>
      <c r="C39" s="8">
        <v>3</v>
      </c>
      <c r="D39" s="8">
        <v>38</v>
      </c>
      <c r="E39" s="8" t="s">
        <v>72</v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>
        <v>15100000</v>
      </c>
      <c r="AN39" s="9">
        <v>15100000</v>
      </c>
      <c r="AO39" s="9"/>
      <c r="AP39" s="9"/>
      <c r="AQ39" s="9"/>
      <c r="AR39" s="9"/>
    </row>
    <row r="40" spans="1:44" ht="15.75" x14ac:dyDescent="0.25">
      <c r="A40" s="7">
        <v>45120</v>
      </c>
      <c r="B40" s="8" t="s">
        <v>75</v>
      </c>
      <c r="C40" s="8">
        <v>4</v>
      </c>
      <c r="D40" s="8">
        <v>38</v>
      </c>
      <c r="E40" s="8" t="s">
        <v>74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>
        <v>4800000</v>
      </c>
      <c r="AN40" s="9">
        <v>4800000</v>
      </c>
      <c r="AO40" s="9"/>
      <c r="AP40" s="9"/>
      <c r="AQ40" s="9"/>
      <c r="AR40" s="9"/>
    </row>
    <row r="41" spans="1:44" ht="15.75" x14ac:dyDescent="0.25">
      <c r="A41" s="7">
        <v>44508</v>
      </c>
      <c r="B41" s="8" t="s">
        <v>77</v>
      </c>
      <c r="C41" s="8">
        <v>9</v>
      </c>
      <c r="D41" s="8">
        <v>38</v>
      </c>
      <c r="E41" s="8" t="s">
        <v>76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>
        <v>18325000</v>
      </c>
      <c r="AN41" s="9">
        <v>18325000</v>
      </c>
      <c r="AO41" s="9"/>
      <c r="AP41" s="9"/>
      <c r="AQ41" s="9"/>
      <c r="AR41" s="9"/>
    </row>
    <row r="42" spans="1:44" ht="15.75" x14ac:dyDescent="0.25">
      <c r="A42" s="7">
        <v>45120</v>
      </c>
      <c r="B42" s="8" t="s">
        <v>79</v>
      </c>
      <c r="C42" s="8">
        <v>1</v>
      </c>
      <c r="D42" s="8">
        <v>35</v>
      </c>
      <c r="E42" s="8" t="s">
        <v>78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>
        <v>2000000</v>
      </c>
      <c r="AQ42" s="9">
        <v>2000000</v>
      </c>
      <c r="AR42" s="9"/>
    </row>
    <row r="43" spans="1:44" ht="15.75" x14ac:dyDescent="0.25">
      <c r="A43" s="7">
        <v>45120</v>
      </c>
      <c r="B43" s="8" t="s">
        <v>81</v>
      </c>
      <c r="C43" s="8">
        <v>1</v>
      </c>
      <c r="D43" s="8">
        <v>35</v>
      </c>
      <c r="E43" s="8" t="s">
        <v>80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>
        <v>1000000</v>
      </c>
      <c r="AQ43" s="9"/>
      <c r="AR43" s="9">
        <v>1000000</v>
      </c>
    </row>
    <row r="44" spans="1:44" ht="15.75" x14ac:dyDescent="0.25">
      <c r="A44" s="7">
        <v>45090</v>
      </c>
      <c r="B44" s="8" t="s">
        <v>83</v>
      </c>
      <c r="C44" s="8">
        <v>1</v>
      </c>
      <c r="D44" s="8">
        <v>35</v>
      </c>
      <c r="E44" s="8" t="s">
        <v>82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>
        <v>2000000</v>
      </c>
      <c r="AQ44" s="9"/>
      <c r="AR44" s="9">
        <v>2000000</v>
      </c>
    </row>
    <row r="45" spans="1:44" ht="15.75" x14ac:dyDescent="0.25">
      <c r="A45" s="7">
        <v>45120</v>
      </c>
      <c r="B45" s="8" t="s">
        <v>85</v>
      </c>
      <c r="C45" s="8">
        <v>1</v>
      </c>
      <c r="D45" s="8">
        <v>35</v>
      </c>
      <c r="E45" s="8" t="s">
        <v>84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>
        <v>1000000</v>
      </c>
      <c r="AQ45" s="9"/>
      <c r="AR45" s="9">
        <v>1000000</v>
      </c>
    </row>
    <row r="46" spans="1:44" ht="15.75" x14ac:dyDescent="0.25">
      <c r="A46" s="7">
        <v>45130</v>
      </c>
      <c r="B46" s="8" t="s">
        <v>87</v>
      </c>
      <c r="C46" s="8">
        <v>1</v>
      </c>
      <c r="D46" s="8">
        <v>35</v>
      </c>
      <c r="E46" s="8" t="s">
        <v>86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>
        <v>1000000</v>
      </c>
      <c r="AQ46" s="9"/>
      <c r="AR46" s="9">
        <v>1000000</v>
      </c>
    </row>
    <row r="47" spans="1:44" ht="15.75" x14ac:dyDescent="0.25">
      <c r="A47" s="7">
        <v>45120</v>
      </c>
      <c r="B47" s="8" t="s">
        <v>89</v>
      </c>
      <c r="C47" s="8">
        <v>1</v>
      </c>
      <c r="D47" s="8">
        <v>35</v>
      </c>
      <c r="E47" s="8" t="s">
        <v>88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>
        <v>1000000</v>
      </c>
      <c r="AQ47" s="9"/>
      <c r="AR47" s="9">
        <v>1000000</v>
      </c>
    </row>
    <row r="48" spans="1:44" ht="15.75" x14ac:dyDescent="0.25">
      <c r="A48" s="7">
        <v>45120</v>
      </c>
      <c r="B48" s="8" t="s">
        <v>91</v>
      </c>
      <c r="C48" s="8">
        <v>1</v>
      </c>
      <c r="D48" s="8">
        <v>35</v>
      </c>
      <c r="E48" s="8" t="s">
        <v>90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>
        <v>1000000</v>
      </c>
      <c r="AQ48" s="9"/>
      <c r="AR48" s="9">
        <v>1000000</v>
      </c>
    </row>
    <row r="49" spans="1:44" ht="15.75" x14ac:dyDescent="0.25">
      <c r="A49" s="7">
        <v>45120</v>
      </c>
      <c r="B49" s="8" t="s">
        <v>92</v>
      </c>
      <c r="C49" s="8">
        <v>1</v>
      </c>
      <c r="D49" s="8">
        <v>35</v>
      </c>
      <c r="E49" s="8" t="s">
        <v>54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>
        <v>1000000</v>
      </c>
      <c r="AQ49" s="9"/>
      <c r="AR49" s="9">
        <v>1000000</v>
      </c>
    </row>
    <row r="50" spans="1:44" ht="15.75" x14ac:dyDescent="0.25">
      <c r="A50" s="7">
        <v>45120</v>
      </c>
      <c r="B50" s="8" t="s">
        <v>93</v>
      </c>
      <c r="C50" s="8">
        <v>1</v>
      </c>
      <c r="D50" s="8">
        <v>35</v>
      </c>
      <c r="E50" s="8" t="s">
        <v>56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>
        <v>1000000</v>
      </c>
      <c r="AQ50" s="9"/>
      <c r="AR50" s="9">
        <v>1000000</v>
      </c>
    </row>
    <row r="51" spans="1:44" ht="15.75" x14ac:dyDescent="0.25">
      <c r="A51" s="7">
        <v>45120</v>
      </c>
      <c r="B51" s="8" t="s">
        <v>91</v>
      </c>
      <c r="C51" s="8">
        <v>1</v>
      </c>
      <c r="D51" s="8">
        <v>35</v>
      </c>
      <c r="E51" s="8" t="s">
        <v>94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>
        <v>2000000</v>
      </c>
      <c r="AQ51" s="9"/>
      <c r="AR51" s="9">
        <v>2000000</v>
      </c>
    </row>
    <row r="52" spans="1:44" ht="15.75" x14ac:dyDescent="0.25">
      <c r="A52" s="18" t="s">
        <v>0</v>
      </c>
      <c r="B52" s="19"/>
      <c r="C52" s="19"/>
      <c r="D52" s="19"/>
      <c r="E52" s="20"/>
      <c r="F52" s="10">
        <f>SUM(F10:F14)</f>
        <v>48550000</v>
      </c>
      <c r="G52" s="11">
        <f>SUM(G10:G14)</f>
        <v>48550000</v>
      </c>
      <c r="H52" s="12"/>
      <c r="I52" s="10">
        <f>SUM(I15:I27)</f>
        <v>26500000</v>
      </c>
      <c r="J52" s="13"/>
      <c r="K52" s="14">
        <f>SUM(K15:K27)</f>
        <v>26500000</v>
      </c>
      <c r="L52" s="10">
        <f>SUM(L28)</f>
        <v>4000000</v>
      </c>
      <c r="M52" s="13"/>
      <c r="N52" s="14">
        <f>SUM(N28)</f>
        <v>4000000</v>
      </c>
      <c r="O52" s="10">
        <f>SUM(O29:O30)</f>
        <v>9975000</v>
      </c>
      <c r="P52" s="15"/>
      <c r="Q52" s="14">
        <f>SUM(Q29:Q30)</f>
        <v>9975000</v>
      </c>
      <c r="R52" s="10">
        <f>SUM(R31)</f>
        <v>3100000</v>
      </c>
      <c r="S52" s="11">
        <f>SUM(S31)</f>
        <v>3100000</v>
      </c>
      <c r="T52" s="16"/>
      <c r="U52" s="10">
        <f>SUM(U32)</f>
        <v>8500000</v>
      </c>
      <c r="V52" s="13"/>
      <c r="W52" s="14">
        <f>SUM(W32)</f>
        <v>8500000</v>
      </c>
      <c r="X52" s="10">
        <f>SUM(X33)</f>
        <v>500000</v>
      </c>
      <c r="Y52" s="13"/>
      <c r="Z52" s="14">
        <f>SUM(Z33)</f>
        <v>500000</v>
      </c>
      <c r="AA52" s="10">
        <f>SUM(AA34)</f>
        <v>500000</v>
      </c>
      <c r="AB52" s="11">
        <f>SUM(AB34)</f>
        <v>500000</v>
      </c>
      <c r="AC52" s="16"/>
      <c r="AD52" s="10">
        <f>SUM(AD35)</f>
        <v>2500000</v>
      </c>
      <c r="AE52" s="11">
        <f>SUM(AE35)</f>
        <v>2500000</v>
      </c>
      <c r="AF52" s="16"/>
      <c r="AG52" s="10">
        <f>SUM(AG36)</f>
        <v>500000</v>
      </c>
      <c r="AH52" s="11">
        <f>SUM(AH36)</f>
        <v>500000</v>
      </c>
      <c r="AI52" s="16"/>
      <c r="AJ52" s="10">
        <f>SUM(AJ37)</f>
        <v>6200000</v>
      </c>
      <c r="AK52" s="11">
        <f>SUM(AK37)</f>
        <v>6200000</v>
      </c>
      <c r="AL52" s="16"/>
      <c r="AM52" s="10">
        <f>SUM(AM38:AM41)</f>
        <v>43225000</v>
      </c>
      <c r="AN52" s="11">
        <f>SUM(AN39:AN41)</f>
        <v>38225000</v>
      </c>
      <c r="AO52" s="14">
        <f>SUM(AO38)</f>
        <v>5000000</v>
      </c>
      <c r="AP52" s="10">
        <f>SUM(AP42:AP51)</f>
        <v>13000000</v>
      </c>
      <c r="AQ52" s="11">
        <f>SUM(AQ42)</f>
        <v>2000000</v>
      </c>
      <c r="AR52" s="14">
        <f>SUM(AR43:AR51)</f>
        <v>11000000</v>
      </c>
    </row>
    <row r="53" spans="1:44" ht="15.75" customHeight="1" x14ac:dyDescent="0.25">
      <c r="K53" s="4"/>
      <c r="AN53" s="5"/>
    </row>
    <row r="54" spans="1:44" ht="15.75" customHeight="1" x14ac:dyDescent="0.25">
      <c r="A54" s="26" t="s">
        <v>0</v>
      </c>
      <c r="B54" s="27"/>
      <c r="C54" s="28"/>
      <c r="D54" s="21" t="s">
        <v>106</v>
      </c>
      <c r="E54" s="21"/>
      <c r="F54" s="21"/>
    </row>
    <row r="55" spans="1:44" ht="15.75" customHeight="1" x14ac:dyDescent="0.25">
      <c r="A55" s="17" t="s">
        <v>102</v>
      </c>
      <c r="B55" s="29">
        <v>167050000</v>
      </c>
      <c r="C55" s="30"/>
      <c r="D55" s="22">
        <f>B55/B55</f>
        <v>1</v>
      </c>
      <c r="E55" s="22"/>
      <c r="F55" s="22"/>
    </row>
    <row r="56" spans="1:44" ht="15.75" customHeight="1" x14ac:dyDescent="0.25">
      <c r="A56" s="17" t="s">
        <v>15</v>
      </c>
      <c r="B56" s="31">
        <v>101575000</v>
      </c>
      <c r="C56" s="32"/>
      <c r="D56" s="23">
        <f>B56/B55</f>
        <v>0.60805148159233757</v>
      </c>
      <c r="E56" s="23"/>
      <c r="F56" s="23"/>
    </row>
    <row r="57" spans="1:44" ht="15" customHeight="1" x14ac:dyDescent="0.25">
      <c r="A57" s="17" t="s">
        <v>96</v>
      </c>
      <c r="B57" s="35">
        <v>65475000</v>
      </c>
      <c r="C57" s="36"/>
      <c r="D57" s="24">
        <f>B57/B55</f>
        <v>0.39194851840766237</v>
      </c>
      <c r="E57" s="24"/>
      <c r="F57" s="24"/>
    </row>
    <row r="58" spans="1:44" ht="15.75" x14ac:dyDescent="0.25">
      <c r="A58" s="17" t="s">
        <v>103</v>
      </c>
      <c r="B58" s="33">
        <v>0</v>
      </c>
      <c r="C58" s="34"/>
      <c r="D58" s="25">
        <f>D55-D56-D57</f>
        <v>0</v>
      </c>
      <c r="E58" s="25"/>
      <c r="F58" s="25"/>
      <c r="I58" s="6"/>
    </row>
  </sheetData>
  <mergeCells count="26">
    <mergeCell ref="A1:AR4"/>
    <mergeCell ref="I5:K8"/>
    <mergeCell ref="L5:N8"/>
    <mergeCell ref="O5:Q8"/>
    <mergeCell ref="R5:T8"/>
    <mergeCell ref="U5:W8"/>
    <mergeCell ref="X5:Z8"/>
    <mergeCell ref="AA5:AC8"/>
    <mergeCell ref="AD5:AF8"/>
    <mergeCell ref="AG5:AI8"/>
    <mergeCell ref="AJ5:AL8"/>
    <mergeCell ref="AM5:AO8"/>
    <mergeCell ref="F5:H8"/>
    <mergeCell ref="A5:E8"/>
    <mergeCell ref="AP5:AR8"/>
    <mergeCell ref="D58:F58"/>
    <mergeCell ref="A54:C54"/>
    <mergeCell ref="B55:C55"/>
    <mergeCell ref="B56:C56"/>
    <mergeCell ref="B58:C58"/>
    <mergeCell ref="B57:C57"/>
    <mergeCell ref="A52:E52"/>
    <mergeCell ref="D54:F54"/>
    <mergeCell ref="D55:F55"/>
    <mergeCell ref="D56:F56"/>
    <mergeCell ref="D57:F5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B91003</dc:creator>
  <cp:lastModifiedBy>B91003</cp:lastModifiedBy>
  <dcterms:created xsi:type="dcterms:W3CDTF">2025-07-02T08:08:37Z</dcterms:created>
  <dcterms:modified xsi:type="dcterms:W3CDTF">2025-07-07T10:10:37Z</dcterms:modified>
</cp:coreProperties>
</file>